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project python\"/>
    </mc:Choice>
  </mc:AlternateContent>
  <xr:revisionPtr revIDLastSave="0" documentId="13_ncr:1_{63D4B4C6-2127-4570-BA94-341FF2A1B4DF}" xr6:coauthVersionLast="47" xr6:coauthVersionMax="47" xr10:uidLastSave="{00000000-0000-0000-0000-000000000000}"/>
  <bookViews>
    <workbookView xWindow="500" yWindow="360" windowWidth="18330" windowHeight="10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T4" i="1"/>
  <c r="T3" i="1"/>
  <c r="T2" i="1"/>
  <c r="S5" i="1"/>
  <c r="S4" i="1"/>
  <c r="S3" i="1"/>
  <c r="S2" i="1"/>
  <c r="F24" i="1"/>
  <c r="F23" i="1"/>
  <c r="F22" i="1"/>
  <c r="F21" i="1"/>
  <c r="E21" i="1"/>
  <c r="E22" i="1"/>
  <c r="E20" i="1"/>
  <c r="D25" i="1"/>
  <c r="E25" i="1" s="1"/>
  <c r="D24" i="1"/>
  <c r="E24" i="1" s="1"/>
  <c r="D23" i="1"/>
  <c r="E23" i="1" s="1"/>
  <c r="D22" i="1"/>
  <c r="D21" i="1"/>
  <c r="D20" i="1"/>
  <c r="C25" i="1"/>
  <c r="F25" i="1" s="1"/>
  <c r="C24" i="1"/>
  <c r="C23" i="1"/>
  <c r="C22" i="1"/>
  <c r="C21" i="1"/>
  <c r="C20" i="1"/>
  <c r="F20" i="1" s="1"/>
  <c r="B25" i="1"/>
  <c r="B24" i="1"/>
  <c r="B23" i="1"/>
  <c r="B22" i="1"/>
  <c r="B21" i="1"/>
  <c r="B20" i="1"/>
</calcChain>
</file>

<file path=xl/sharedStrings.xml><?xml version="1.0" encoding="utf-8"?>
<sst xmlns="http://schemas.openxmlformats.org/spreadsheetml/2006/main" count="34" uniqueCount="34">
  <si>
    <t>Indicator Name</t>
  </si>
  <si>
    <t>Unemployment, total (% of total labor force) (modeled ILO estimate)</t>
  </si>
  <si>
    <t>Foreign direct investment, net inflows (% of GDP)</t>
  </si>
  <si>
    <t>GDP growth (annual %)</t>
  </si>
  <si>
    <t>GDP per capita (current US$)</t>
  </si>
  <si>
    <t>Borrowers from commercial banks (per 1,000 adults)</t>
  </si>
  <si>
    <t>Bank nonperforming loans to total gross loans (%)</t>
  </si>
  <si>
    <t>Interest rate spread (lending rate minus deposit rate, %)</t>
  </si>
  <si>
    <t>Inflation, consumer prices (annual %)</t>
  </si>
  <si>
    <t>Broad money (% of GDP)</t>
  </si>
  <si>
    <t>Commercial bank branches (per 100,000 adults)</t>
  </si>
  <si>
    <t>Domestic credit to private sector (% of GDP)</t>
  </si>
  <si>
    <t>Deposit interest rate (%)</t>
  </si>
  <si>
    <t>Account ownership at a financial institution or with a mobile-money-service provider (% of population ages 15+)</t>
  </si>
  <si>
    <t>Lending interest rate (%)</t>
  </si>
  <si>
    <t>Bank capital to assets ratio (%)</t>
  </si>
  <si>
    <t>Summary table</t>
  </si>
  <si>
    <t>indicator</t>
  </si>
  <si>
    <t>gdp growth %</t>
  </si>
  <si>
    <t>npl ratio(%)</t>
  </si>
  <si>
    <t>inflation (%)</t>
  </si>
  <si>
    <t>lending Rate (%)</t>
  </si>
  <si>
    <t>deposit rate (%)</t>
  </si>
  <si>
    <t>interest rate spread (%)</t>
  </si>
  <si>
    <t>Average (2010-2024)</t>
  </si>
  <si>
    <t>min(2010-2024)</t>
  </si>
  <si>
    <t>max(2010-2024)</t>
  </si>
  <si>
    <t>worst year</t>
  </si>
  <si>
    <t>best year</t>
  </si>
  <si>
    <t>year</t>
  </si>
  <si>
    <t>gdp growth rate</t>
  </si>
  <si>
    <t>npl ratio</t>
  </si>
  <si>
    <t>inflation</t>
  </si>
  <si>
    <t>lending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</si>
</sst>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A7" workbookViewId="0">
      <pane xSplit="1" topLeftCell="B1" activePane="topRight" state="frozen"/>
      <selection pane="topRight" activeCell="T2" sqref="T2"/>
    </sheetView>
  </sheetViews>
  <sheetFormatPr defaultRowHeight="14.5" x14ac:dyDescent="0.35"/>
  <cols>
    <col min="1" max="1" width="95.453125" bestFit="1" customWidth="1"/>
    <col min="2" max="2" width="18.08984375" bestFit="1" customWidth="1"/>
    <col min="3" max="3" width="14" bestFit="1" customWidth="1"/>
    <col min="4" max="4" width="14.36328125" bestFit="1" customWidth="1"/>
    <col min="5" max="11" width="11.81640625" bestFit="1" customWidth="1"/>
    <col min="12" max="12" width="12.453125" bestFit="1" customWidth="1"/>
    <col min="13" max="16" width="11.81640625" bestFit="1" customWidth="1"/>
    <col min="18" max="18" width="14.1796875" bestFit="1" customWidth="1"/>
  </cols>
  <sheetData>
    <row r="1" spans="1:20" ht="15.5" x14ac:dyDescent="0.35">
      <c r="A1" s="1" t="s">
        <v>0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R1" t="s">
        <v>29</v>
      </c>
      <c r="S1">
        <v>2018</v>
      </c>
      <c r="T1">
        <v>2023</v>
      </c>
    </row>
    <row r="2" spans="1:20" x14ac:dyDescent="0.35">
      <c r="A2" t="s">
        <v>1</v>
      </c>
      <c r="B2" s="2">
        <v>2.7930000000000001</v>
      </c>
      <c r="C2" s="2">
        <v>2.6989999999999998</v>
      </c>
      <c r="D2" s="2">
        <v>2.6779999999999999</v>
      </c>
      <c r="E2" s="2">
        <v>2.762</v>
      </c>
      <c r="F2" s="2">
        <v>2.7669999999999999</v>
      </c>
      <c r="G2" s="2">
        <v>2.762</v>
      </c>
      <c r="H2" s="2">
        <v>2.7570000000000001</v>
      </c>
      <c r="I2" s="2">
        <v>3.5419999999999998</v>
      </c>
      <c r="J2" s="2">
        <v>4.2839999999999998</v>
      </c>
      <c r="K2" s="2">
        <v>5.0140000000000002</v>
      </c>
      <c r="L2" s="2">
        <v>5.6130000000000004</v>
      </c>
      <c r="M2" s="2">
        <v>5.6929999999999996</v>
      </c>
      <c r="N2" s="2">
        <v>5.5650000000000004</v>
      </c>
      <c r="O2" s="2">
        <v>5.4089999999999998</v>
      </c>
      <c r="P2" s="2">
        <v>5.4870000000000001</v>
      </c>
      <c r="R2" t="s">
        <v>30</v>
      </c>
      <c r="S2">
        <f>_xlfn.XLOOKUP(S1,B1:P1,B4:P4)</f>
        <v>5.6479464070921921</v>
      </c>
      <c r="T2">
        <f>-_xlfn.XLOOKUP(T1,B1:P1,B4:P4)</f>
        <v>-5.7199924121420764</v>
      </c>
    </row>
    <row r="3" spans="1:20" x14ac:dyDescent="0.35">
      <c r="A3" t="s">
        <v>2</v>
      </c>
      <c r="B3" s="2">
        <v>0.39216428739503512</v>
      </c>
      <c r="C3" s="2">
        <v>3.0947110338126822</v>
      </c>
      <c r="D3" s="2">
        <v>2.447259409889277</v>
      </c>
      <c r="E3" s="2">
        <v>1.814170372532913</v>
      </c>
      <c r="F3" s="2">
        <v>1.202208424395764</v>
      </c>
      <c r="G3" s="2">
        <v>0.88379993631269238</v>
      </c>
      <c r="H3" s="2">
        <v>0.62759126635558349</v>
      </c>
      <c r="I3" s="2">
        <v>1.640836903986415</v>
      </c>
      <c r="J3" s="2">
        <v>0.832686217791619</v>
      </c>
      <c r="K3" s="2">
        <v>0.46816854748147457</v>
      </c>
      <c r="L3" s="2">
        <v>-5.3684543935162057E-3</v>
      </c>
      <c r="M3" s="2">
        <v>0.38259399651895409</v>
      </c>
      <c r="N3" s="2">
        <v>0.69164598306806246</v>
      </c>
      <c r="O3" s="2">
        <v>0.47252123822625369</v>
      </c>
      <c r="P3" s="2">
        <v>0.38492456944964631</v>
      </c>
      <c r="R3" t="s">
        <v>31</v>
      </c>
      <c r="S3">
        <f>_xlfn.XLOOKUP(S1,B1:P1,B7:P7)</f>
        <v>12.0267293707535</v>
      </c>
      <c r="T3">
        <f>_xlfn.XLOOKUP(T1,B1:P1,B7:P7)</f>
        <v>12.335551361463599</v>
      </c>
    </row>
    <row r="4" spans="1:20" x14ac:dyDescent="0.35">
      <c r="A4" t="s">
        <v>3</v>
      </c>
      <c r="B4" s="2">
        <v>8.0584736029090607</v>
      </c>
      <c r="C4" s="2">
        <v>5.1211061197056011</v>
      </c>
      <c r="D4" s="2">
        <v>4.5686796144498203</v>
      </c>
      <c r="E4" s="2">
        <v>3.797848392575403</v>
      </c>
      <c r="F4" s="2">
        <v>5.020111002324839</v>
      </c>
      <c r="G4" s="2">
        <v>4.9677211275976703</v>
      </c>
      <c r="H4" s="2">
        <v>4.2135170681474392</v>
      </c>
      <c r="I4" s="2">
        <v>3.837958173647209</v>
      </c>
      <c r="J4" s="2">
        <v>5.6479464070921921</v>
      </c>
      <c r="K4" s="2">
        <v>5.1141588576780066</v>
      </c>
      <c r="L4" s="2">
        <v>-0.27276632743881629</v>
      </c>
      <c r="M4" s="2">
        <v>7.5904894733346708</v>
      </c>
      <c r="N4" s="2">
        <v>4.8599810428799941</v>
      </c>
      <c r="O4" s="2">
        <v>5.7199924121420764</v>
      </c>
      <c r="P4" s="2">
        <v>4.660195945718911</v>
      </c>
      <c r="R4" t="s">
        <v>32</v>
      </c>
      <c r="S4">
        <f>-_xlfn.XLOOKUP(S1,B1:P1,B9:P9)</f>
        <v>-4.6898064677632991</v>
      </c>
      <c r="T4">
        <f>-_xlfn.XLOOKUP(T1,B1:P1,B9:P9)</f>
        <v>-7.6713963402940228</v>
      </c>
    </row>
    <row r="5" spans="1:20" x14ac:dyDescent="0.35">
      <c r="A5" t="s">
        <v>4</v>
      </c>
      <c r="B5" s="2">
        <v>1091.5187310119391</v>
      </c>
      <c r="C5" s="2">
        <v>1096.144998076755</v>
      </c>
      <c r="D5" s="2">
        <v>1285.005361715117</v>
      </c>
      <c r="E5" s="2">
        <v>1370.8788521465931</v>
      </c>
      <c r="F5" s="2">
        <v>1482.8156625349741</v>
      </c>
      <c r="G5" s="2">
        <v>1489.1195977728401</v>
      </c>
      <c r="H5" s="2">
        <v>1554.126103144233</v>
      </c>
      <c r="I5" s="2">
        <v>1667.484472308354</v>
      </c>
      <c r="J5" s="2">
        <v>1836.452755289929</v>
      </c>
      <c r="K5" s="2">
        <v>1960.4080885489259</v>
      </c>
      <c r="L5" s="2">
        <v>1927.664590278489</v>
      </c>
      <c r="M5" s="2">
        <v>2061.3562208959411</v>
      </c>
      <c r="N5" s="2">
        <v>2109.562885131375</v>
      </c>
      <c r="O5" s="2">
        <v>1942.5880275619111</v>
      </c>
      <c r="P5" s="2">
        <v>2133.4619340402628</v>
      </c>
      <c r="R5" t="s">
        <v>33</v>
      </c>
      <c r="S5">
        <f>_xlfn.XLOOKUP(S1,B1:P1,B15:P15)</f>
        <v>13.060758835375729</v>
      </c>
      <c r="T5">
        <f>_xlfn.XLOOKUP(T1,B1:P1,B15:P15)</f>
        <v>13.588501716128039</v>
      </c>
    </row>
    <row r="6" spans="1:20" x14ac:dyDescent="0.35">
      <c r="A6" t="s">
        <v>5</v>
      </c>
      <c r="B6" s="2">
        <v>76.486104041951904</v>
      </c>
      <c r="C6" s="2">
        <v>82.286268037691002</v>
      </c>
      <c r="D6" s="2">
        <v>82.259320107208296</v>
      </c>
      <c r="E6" s="2">
        <v>119.044228386295</v>
      </c>
      <c r="F6" s="2">
        <v>164.09337786222099</v>
      </c>
      <c r="G6" s="2">
        <v>226.32790914242801</v>
      </c>
      <c r="H6" s="2">
        <v>277.50589637512797</v>
      </c>
      <c r="I6" s="2">
        <v>245.078616498489</v>
      </c>
      <c r="J6" s="2">
        <v>240.19114119439701</v>
      </c>
      <c r="K6" s="2">
        <v>271.11558127513001</v>
      </c>
      <c r="L6" s="2">
        <v>360.20477799336697</v>
      </c>
      <c r="M6" s="2">
        <v>398.92184552273301</v>
      </c>
      <c r="N6" s="2">
        <v>429.85730965341997</v>
      </c>
      <c r="O6" s="2">
        <v>373.191305927386</v>
      </c>
      <c r="P6" s="2">
        <v>324.89686149680603</v>
      </c>
    </row>
    <row r="7" spans="1:20" x14ac:dyDescent="0.35">
      <c r="A7" t="s">
        <v>6</v>
      </c>
      <c r="B7" s="2">
        <v>5.1326440495377703</v>
      </c>
      <c r="C7" s="2">
        <v>4.4211924554981401</v>
      </c>
      <c r="D7" s="2">
        <v>4.5909600696627999</v>
      </c>
      <c r="E7" s="2">
        <v>5.0435826459249498</v>
      </c>
      <c r="F7" s="2">
        <v>5.4551197240463001</v>
      </c>
      <c r="G7" s="2">
        <v>5.9887640736268901</v>
      </c>
      <c r="H7" s="2">
        <v>8.5859683207520003</v>
      </c>
      <c r="I7" s="2">
        <v>9.9491282888401305</v>
      </c>
      <c r="J7" s="2">
        <v>12.0267293707535</v>
      </c>
      <c r="K7" s="2">
        <v>9.7493551406243704</v>
      </c>
      <c r="L7" s="2">
        <v>11.8785758572124</v>
      </c>
      <c r="M7" s="2">
        <v>10.8864625648839</v>
      </c>
      <c r="N7" s="2">
        <v>10.753110186172901</v>
      </c>
      <c r="O7" s="2">
        <v>12.335551361463599</v>
      </c>
      <c r="P7" s="2">
        <v>13.5729761304392</v>
      </c>
    </row>
    <row r="8" spans="1:20" x14ac:dyDescent="0.35">
      <c r="A8" t="s">
        <v>7</v>
      </c>
      <c r="B8" s="2">
        <v>9.8141333333333343</v>
      </c>
      <c r="C8" s="2">
        <v>9.4181965928268916</v>
      </c>
      <c r="D8" s="2">
        <v>8.1512619961056014</v>
      </c>
      <c r="E8" s="2">
        <v>8.6716880203476716</v>
      </c>
      <c r="F8" s="2">
        <v>8.1405510985199836</v>
      </c>
      <c r="G8" s="2">
        <v>6.8976685750081099</v>
      </c>
      <c r="H8" s="2">
        <v>7.8710050733349188</v>
      </c>
      <c r="I8" s="2">
        <v>5.9934492585389254</v>
      </c>
      <c r="J8" s="2">
        <v>4.768058618800648</v>
      </c>
      <c r="K8" s="2">
        <v>4.9350625817415681</v>
      </c>
      <c r="L8" s="2">
        <v>5.0270813257799212</v>
      </c>
      <c r="M8" s="2">
        <v>5.3930245591989081</v>
      </c>
      <c r="N8" s="2">
        <v>5.1906654012313691</v>
      </c>
      <c r="O8" s="2">
        <v>4.4208115398373611</v>
      </c>
      <c r="P8" s="2">
        <v>4.6107967919224606</v>
      </c>
    </row>
    <row r="9" spans="1:20" x14ac:dyDescent="0.35">
      <c r="A9" t="s">
        <v>8</v>
      </c>
      <c r="B9" s="2">
        <v>3.9613888911538511</v>
      </c>
      <c r="C9" s="2">
        <v>14.022491301470421</v>
      </c>
      <c r="D9" s="2">
        <v>9.377770035475983</v>
      </c>
      <c r="E9" s="2">
        <v>5.7174935703773286</v>
      </c>
      <c r="F9" s="2">
        <v>6.8781549927594892</v>
      </c>
      <c r="G9" s="2">
        <v>6.5821542928477861</v>
      </c>
      <c r="H9" s="2">
        <v>6.2972495381462492</v>
      </c>
      <c r="I9" s="2">
        <v>8.0056496770994467</v>
      </c>
      <c r="J9" s="2">
        <v>4.6898064677632991</v>
      </c>
      <c r="K9" s="2">
        <v>5.2396379576479228</v>
      </c>
      <c r="L9" s="2">
        <v>5.4051620793339197</v>
      </c>
      <c r="M9" s="2">
        <v>6.107936036591763</v>
      </c>
      <c r="N9" s="2">
        <v>7.6598626827222391</v>
      </c>
      <c r="O9" s="2">
        <v>7.6713963402940228</v>
      </c>
      <c r="P9" s="2">
        <v>4.4897885424344786</v>
      </c>
    </row>
    <row r="10" spans="1:20" x14ac:dyDescent="0.35">
      <c r="A10" t="s">
        <v>9</v>
      </c>
      <c r="B10" s="2">
        <v>35.510430398989051</v>
      </c>
      <c r="C10" s="2">
        <v>36.569435715781857</v>
      </c>
      <c r="D10" s="2">
        <v>36.526519545731233</v>
      </c>
      <c r="E10" s="2">
        <v>37.793391928189628</v>
      </c>
      <c r="F10" s="2">
        <v>42.301256902528309</v>
      </c>
      <c r="G10" s="2">
        <v>42.819385779409338</v>
      </c>
      <c r="H10" s="2">
        <v>40.327611624230059</v>
      </c>
      <c r="I10" s="2">
        <v>39.351989294104037</v>
      </c>
      <c r="J10" s="2">
        <v>39.359832340854098</v>
      </c>
      <c r="K10" s="2">
        <v>38.070483758951283</v>
      </c>
      <c r="L10" s="2">
        <v>41.20258090640462</v>
      </c>
      <c r="M10" s="2">
        <v>38.988782459689922</v>
      </c>
      <c r="N10" s="2">
        <v>37.379930418656848</v>
      </c>
      <c r="O10" s="2">
        <v>40.206795349657931</v>
      </c>
      <c r="P10" s="2">
        <v>37.613539983910712</v>
      </c>
    </row>
    <row r="11" spans="1:20" x14ac:dyDescent="0.35">
      <c r="A11" t="s">
        <v>10</v>
      </c>
      <c r="B11" s="2">
        <v>4.71624736128945</v>
      </c>
      <c r="C11" s="2">
        <v>4.9858939716159503</v>
      </c>
      <c r="D11" s="2">
        <v>5.2723702459658899</v>
      </c>
      <c r="E11" s="2">
        <v>5.3859849593745004</v>
      </c>
      <c r="F11" s="2">
        <v>5.6063539684384098</v>
      </c>
      <c r="G11" s="2">
        <v>5.7337757396552398</v>
      </c>
      <c r="H11" s="2">
        <v>5.5274631437922599</v>
      </c>
      <c r="I11" s="2">
        <v>5.3756048847707998</v>
      </c>
      <c r="J11" s="2">
        <v>5.1778026663141601</v>
      </c>
      <c r="K11" s="2">
        <v>4.9725829122173799</v>
      </c>
      <c r="L11" s="2">
        <v>4.8605565927125998</v>
      </c>
      <c r="M11" s="2">
        <v>4.5908647675278598</v>
      </c>
      <c r="N11" s="2">
        <v>4.5062377760115204</v>
      </c>
      <c r="O11" s="2">
        <v>4.4776805822579302</v>
      </c>
      <c r="P11" s="2">
        <v>4.5195334741729498</v>
      </c>
    </row>
    <row r="12" spans="1:20" x14ac:dyDescent="0.35">
      <c r="A12" t="s">
        <v>11</v>
      </c>
      <c r="B12" s="2">
        <v>23.986636546331759</v>
      </c>
      <c r="C12" s="2">
        <v>27.365952845287701</v>
      </c>
      <c r="D12" s="2">
        <v>26.402234114029351</v>
      </c>
      <c r="E12" s="2">
        <v>28.332172204347149</v>
      </c>
      <c r="F12" s="2">
        <v>34.522065177838698</v>
      </c>
      <c r="G12" s="2">
        <v>36.69932935083969</v>
      </c>
      <c r="H12" s="2">
        <v>35.571073213439689</v>
      </c>
      <c r="I12" s="2">
        <v>33.150599303110567</v>
      </c>
      <c r="J12" s="2">
        <v>31.19868976730011</v>
      </c>
      <c r="K12" s="2">
        <v>30.83202877015967</v>
      </c>
      <c r="L12" s="2">
        <v>32.149807420893509</v>
      </c>
      <c r="M12" s="2">
        <v>31.123124019926738</v>
      </c>
      <c r="N12" s="2">
        <v>31.258416391554949</v>
      </c>
      <c r="O12" s="2">
        <v>31.79808486965133</v>
      </c>
      <c r="P12" s="2"/>
    </row>
    <row r="13" spans="1:20" x14ac:dyDescent="0.35">
      <c r="A13" t="s">
        <v>12</v>
      </c>
      <c r="B13" s="2">
        <v>4.557366666666665</v>
      </c>
      <c r="C13" s="2">
        <v>5.6285633976125196</v>
      </c>
      <c r="D13" s="2">
        <v>11.57214465728976</v>
      </c>
      <c r="E13" s="2">
        <v>8.6417696710570073</v>
      </c>
      <c r="F13" s="2">
        <v>8.3733796077748277</v>
      </c>
      <c r="G13" s="2">
        <v>9.18894521073093</v>
      </c>
      <c r="H13" s="2">
        <v>8.6886255727195998</v>
      </c>
      <c r="I13" s="2">
        <v>7.6741232578982954</v>
      </c>
      <c r="J13" s="2">
        <v>8.2927002165750814</v>
      </c>
      <c r="K13" s="2">
        <v>7.5060703057730818</v>
      </c>
      <c r="L13" s="2">
        <v>6.9687032913739984</v>
      </c>
      <c r="M13" s="2">
        <v>6.6869737875518318</v>
      </c>
      <c r="N13" s="2">
        <v>7.1451755018279002</v>
      </c>
      <c r="O13" s="2">
        <v>9.1676901762906784</v>
      </c>
      <c r="P13" s="2">
        <v>11.98231045983492</v>
      </c>
    </row>
    <row r="14" spans="1:20" x14ac:dyDescent="0.35">
      <c r="A14" t="s">
        <v>13</v>
      </c>
      <c r="B14" s="2"/>
      <c r="C14" s="2">
        <v>42.343454367076497</v>
      </c>
      <c r="D14" s="2"/>
      <c r="E14" s="2"/>
      <c r="F14" s="2">
        <v>74.657832938271198</v>
      </c>
      <c r="G14" s="2"/>
      <c r="H14" s="2"/>
      <c r="I14" s="2">
        <v>81.567564633318895</v>
      </c>
      <c r="J14" s="2"/>
      <c r="K14" s="2"/>
      <c r="L14" s="2"/>
      <c r="M14" s="2">
        <v>79.195157616831693</v>
      </c>
      <c r="N14" s="2"/>
      <c r="O14" s="2"/>
      <c r="P14" s="2">
        <v>90.119917373361304</v>
      </c>
    </row>
    <row r="15" spans="1:20" x14ac:dyDescent="0.35">
      <c r="A15" t="s">
        <v>14</v>
      </c>
      <c r="B15" s="2">
        <v>14.371499999999999</v>
      </c>
      <c r="C15" s="2">
        <v>15.04675999043941</v>
      </c>
      <c r="D15" s="2">
        <v>19.723406653395362</v>
      </c>
      <c r="E15" s="2">
        <v>17.313457691404679</v>
      </c>
      <c r="F15" s="2">
        <v>16.513930706294811</v>
      </c>
      <c r="G15" s="2">
        <v>16.08661378573904</v>
      </c>
      <c r="H15" s="2">
        <v>16.559630646054519</v>
      </c>
      <c r="I15" s="2">
        <v>13.66757251643722</v>
      </c>
      <c r="J15" s="2">
        <v>13.060758835375729</v>
      </c>
      <c r="K15" s="2">
        <v>12.44113288751465</v>
      </c>
      <c r="L15" s="2">
        <v>11.99578461715392</v>
      </c>
      <c r="M15" s="2">
        <v>12.07999834675074</v>
      </c>
      <c r="N15" s="2">
        <v>12.335840903059269</v>
      </c>
      <c r="O15" s="2">
        <v>13.588501716128039</v>
      </c>
      <c r="P15" s="2">
        <v>16.593107251757381</v>
      </c>
    </row>
    <row r="16" spans="1:20" x14ac:dyDescent="0.35">
      <c r="A16" t="s">
        <v>15</v>
      </c>
      <c r="B16" s="2">
        <v>11.665056049700199</v>
      </c>
      <c r="C16" s="2">
        <v>11.603798621021401</v>
      </c>
      <c r="D16" s="2">
        <v>11.3501147433653</v>
      </c>
      <c r="E16" s="2">
        <v>12.240814649147801</v>
      </c>
      <c r="F16" s="2">
        <v>12.6830392353154</v>
      </c>
      <c r="G16" s="2">
        <v>12.361619757627601</v>
      </c>
      <c r="H16" s="2">
        <v>12.911554118602799</v>
      </c>
      <c r="I16" s="2">
        <v>11.658462614426201</v>
      </c>
      <c r="J16" s="2">
        <v>13.1846993906255</v>
      </c>
      <c r="K16" s="2">
        <v>12.7606669939545</v>
      </c>
      <c r="L16" s="2">
        <v>12.2632002864526</v>
      </c>
      <c r="M16" s="2">
        <v>12.0701204406319</v>
      </c>
      <c r="N16" s="2">
        <v>11.4317527260689</v>
      </c>
      <c r="O16" s="2">
        <v>10.4334079289298</v>
      </c>
      <c r="P16" s="2">
        <v>11.6896167282259</v>
      </c>
    </row>
    <row r="18" spans="1:6" x14ac:dyDescent="0.35">
      <c r="A18" t="s">
        <v>16</v>
      </c>
    </row>
    <row r="19" spans="1:6" x14ac:dyDescent="0.35">
      <c r="A19" t="s">
        <v>17</v>
      </c>
      <c r="B19" t="s">
        <v>24</v>
      </c>
      <c r="C19" t="s">
        <v>25</v>
      </c>
      <c r="D19" t="s">
        <v>26</v>
      </c>
      <c r="E19" t="s">
        <v>28</v>
      </c>
      <c r="F19" t="s">
        <v>27</v>
      </c>
    </row>
    <row r="20" spans="1:6" x14ac:dyDescent="0.35">
      <c r="A20" t="s">
        <v>18</v>
      </c>
      <c r="B20" s="2">
        <f>AVERAGE(B4:P4)</f>
        <v>4.8603608608509381</v>
      </c>
      <c r="C20" s="2">
        <f>MIN(B4:P4)</f>
        <v>-0.27276632743881629</v>
      </c>
      <c r="D20" s="2">
        <f>MAX(B4:P4)</f>
        <v>8.0584736029090607</v>
      </c>
      <c r="E20">
        <f>INDEX($B$1:$P$1,MATCH(D20,B4:P4,0))</f>
        <v>2010</v>
      </c>
      <c r="F20">
        <f>INDEX($B$1:$P$1,MATCH(C20,B4:P4,0))</f>
        <v>2020</v>
      </c>
    </row>
    <row r="21" spans="1:6" x14ac:dyDescent="0.35">
      <c r="A21" t="s">
        <v>19</v>
      </c>
      <c r="B21" s="2">
        <f>AVERAGE(B7:P7)</f>
        <v>8.6913413492959233</v>
      </c>
      <c r="C21" s="2">
        <f>MIN(B7:P7)</f>
        <v>4.4211924554981401</v>
      </c>
      <c r="D21" s="2">
        <f>MAX(B7:P7)</f>
        <v>13.5729761304392</v>
      </c>
      <c r="E21">
        <f>INDEX($B$1:$P$1,MATCH(C21,B7:P7))</f>
        <v>2011</v>
      </c>
      <c r="F21">
        <f>INDEX($B$1:$P$1,MATCH(D21,B7:P7,0))</f>
        <v>2024</v>
      </c>
    </row>
    <row r="22" spans="1:6" x14ac:dyDescent="0.35">
      <c r="A22" t="s">
        <v>20</v>
      </c>
      <c r="B22" s="2">
        <f>AVERAGE(B9:P9)</f>
        <v>6.8070628270745477</v>
      </c>
      <c r="C22" s="2">
        <f>MIN(B9:P9)</f>
        <v>3.9613888911538511</v>
      </c>
      <c r="D22" s="2">
        <f>MAX(B9:P9)</f>
        <v>14.022491301470421</v>
      </c>
      <c r="E22">
        <f>INDEX($B$1:$P$1,MATCH(C22,B9:P9,0))</f>
        <v>2010</v>
      </c>
      <c r="F22">
        <f>INDEX($B$1:$P$1,MATCH(D22,B9:P9,0))</f>
        <v>2011</v>
      </c>
    </row>
    <row r="23" spans="1:6" x14ac:dyDescent="0.35">
      <c r="A23" t="s">
        <v>21</v>
      </c>
      <c r="B23" s="2">
        <f>AVERAGE(B15:P15)</f>
        <v>14.758533103166986</v>
      </c>
      <c r="C23" s="2">
        <f>MIN(B15:P15)</f>
        <v>11.99578461715392</v>
      </c>
      <c r="D23" s="2">
        <f>MAX(B15:P15)</f>
        <v>19.723406653395362</v>
      </c>
      <c r="E23">
        <f>INDEX($B$1:$P$1,MATCH(D23,B15:P15,0))</f>
        <v>2012</v>
      </c>
      <c r="F23">
        <f>INDEX($B$1:$P$1,MATCH(C23,B15:P15,0))</f>
        <v>2020</v>
      </c>
    </row>
    <row r="24" spans="1:6" x14ac:dyDescent="0.35">
      <c r="A24" t="s">
        <v>22</v>
      </c>
      <c r="B24" s="2">
        <f>AVERAGE(B13:P13)</f>
        <v>8.1383027853984728</v>
      </c>
      <c r="C24" s="2">
        <f>MIN(B13:P13)</f>
        <v>4.557366666666665</v>
      </c>
      <c r="D24" s="2">
        <f>MAX(B13:P13)</f>
        <v>11.98231045983492</v>
      </c>
      <c r="E24">
        <f>INDEX($B$1:$P$1,MATCH(D24,B13:P13,0))</f>
        <v>2024</v>
      </c>
      <c r="F24">
        <f>INDEX($B$1:$P$1,MATCH(C24,B13:P13,0))</f>
        <v>2010</v>
      </c>
    </row>
    <row r="25" spans="1:6" x14ac:dyDescent="0.35">
      <c r="A25" t="s">
        <v>23</v>
      </c>
      <c r="B25" s="2">
        <f>AVERAGE(B8:P8)</f>
        <v>6.6202303177685113</v>
      </c>
      <c r="C25" s="2">
        <f>MIN(B8:P8)</f>
        <v>4.4208115398373611</v>
      </c>
      <c r="D25" s="2">
        <f>MAX(B8:P8)</f>
        <v>9.8141333333333343</v>
      </c>
      <c r="E25">
        <f>INDEX($B$1:$P$1,MATCH(D25,B8:P8,0))</f>
        <v>2010</v>
      </c>
      <c r="F25">
        <f>INDEX($B$1:$P$1,MATCH(C25,B8:P8,0))</f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BUNDI</cp:lastModifiedBy>
  <dcterms:created xsi:type="dcterms:W3CDTF">2026-07-28T07:53:59Z</dcterms:created>
  <dcterms:modified xsi:type="dcterms:W3CDTF">2026-08-25T18:40:41Z</dcterms:modified>
</cp:coreProperties>
</file>